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 Operating Point" sheetId="2" state="visible" r:id="rId2"/>
    <sheet xmlns:r="http://schemas.openxmlformats.org/officeDocument/2006/relationships" name="AC Sweep" sheetId="3" state="visible" r:id="rId3"/>
    <sheet xmlns:r="http://schemas.openxmlformats.org/officeDocument/2006/relationships" name="LTspice Comparison" sheetId="4" state="visible" r:id="rId4"/>
    <sheet xmlns:r="http://schemas.openxmlformats.org/officeDocument/2006/relationships" name="B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4472C4"/>
      <sz val="11"/>
    </font>
    <font>
      <name val="Calibri"/>
      <b val="1"/>
      <color rgb="00FFFFFF"/>
      <sz val="11"/>
    </font>
    <font>
      <i val="1"/>
      <color rgb="00666666"/>
    </font>
    <font>
      <b val="1"/>
      <color rgb="0000B050"/>
    </font>
    <font>
      <b val="1"/>
    </font>
    <font>
      <color rgb="00006100"/>
    </font>
    <font>
      <b val="1"/>
      <color rgb="00FF00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11" fontId="0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Bode Plot — Magnitude</a:t>
            </a:r>
          </a:p>
        </rich>
      </tx>
    </title>
    <plotArea>
      <lineChart>
        <grouping val="standard"/>
        <ser>
          <idx val="0"/>
          <order val="0"/>
          <tx>
            <strRef>
              <f>'AC Sweep'!C4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Sweep'!$A$4:$A$85</f>
            </numRef>
          </cat>
          <val>
            <numRef>
              <f>'AC Sweep'!$C$5:$C$85</f>
            </numRef>
          </val>
        </ser>
        <ser>
          <idx val="1"/>
          <order val="1"/>
          <tx>
            <strRef>
              <f>'AC Sweep'!F4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Sweep'!$A$4:$A$85</f>
            </numRef>
          </cat>
          <val>
            <numRef>
              <f>'AC Sweep'!$F$5:$F$85</f>
            </numRef>
          </val>
        </ser>
        <axId val="10"/>
        <axId val="100"/>
      </lineChart>
      <catAx>
        <axId val="10"/>
        <scaling>
          <logBase val="10"/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[Hz]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Magnitude [dB]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Bode Plot — Phase</a:t>
            </a:r>
          </a:p>
        </rich>
      </tx>
    </title>
    <plotArea>
      <lineChart>
        <grouping val="standard"/>
        <ser>
          <idx val="0"/>
          <order val="0"/>
          <tx>
            <strRef>
              <f>'AC Sweep'!D4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Sweep'!$A$4:$A$85</f>
            </numRef>
          </cat>
          <val>
            <numRef>
              <f>'AC Sweep'!$D$5:$D$85</f>
            </numRef>
          </val>
        </ser>
        <ser>
          <idx val="1"/>
          <order val="1"/>
          <tx>
            <strRef>
              <f>'AC Sweep'!G4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 Sweep'!$A$4:$A$85</f>
            </numRef>
          </cat>
          <val>
            <numRef>
              <f>'AC Sweep'!$G$5:$G$85</f>
            </numRef>
          </val>
        </ser>
        <axId val="10"/>
        <axId val="100"/>
      </lineChart>
      <catAx>
        <axId val="10"/>
        <scaling>
          <logBase val="10"/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[Hz]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 [°]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87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104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11" customWidth="1" min="4" max="4"/>
  </cols>
  <sheetData>
    <row r="1">
      <c r="A1" s="1" t="inlineStr">
        <is>
          <t>Circuit Analysis Report: RC LP Filter 1kHz (fallback)</t>
        </is>
      </c>
    </row>
    <row r="2"/>
    <row r="3">
      <c r="A3" s="2" t="inlineStr">
        <is>
          <t>Ground Node:</t>
        </is>
      </c>
      <c r="B3" t="inlineStr">
        <is>
          <t>0</t>
        </is>
      </c>
    </row>
    <row r="4"/>
    <row r="5">
      <c r="A5" s="2" t="inlineStr">
        <is>
          <t>Network Nodes</t>
        </is>
      </c>
    </row>
    <row r="6">
      <c r="A6" t="inlineStr">
        <is>
          <t>0</t>
        </is>
      </c>
    </row>
    <row r="7">
      <c r="A7" t="inlineStr">
        <is>
          <t>in</t>
        </is>
      </c>
    </row>
    <row r="8">
      <c r="A8" t="inlineStr">
        <is>
          <t>out</t>
        </is>
      </c>
    </row>
    <row r="9"/>
    <row r="10"/>
    <row r="11">
      <c r="A11" s="2" t="inlineStr">
        <is>
          <t>Components Overview</t>
        </is>
      </c>
    </row>
    <row r="12">
      <c r="A12" s="3" t="inlineStr">
        <is>
          <t>Reference</t>
        </is>
      </c>
      <c r="B12" s="3" t="inlineStr">
        <is>
          <t>Type</t>
        </is>
      </c>
      <c r="C12" s="3" t="inlineStr">
        <is>
          <t>Value</t>
        </is>
      </c>
      <c r="D12" s="3" t="inlineStr">
        <is>
          <t>Terminals</t>
        </is>
      </c>
    </row>
    <row r="13">
      <c r="A13" t="inlineStr">
        <is>
          <t>Vin</t>
        </is>
      </c>
      <c r="B13" t="inlineStr">
        <is>
          <t>AC Voltage Source</t>
        </is>
      </c>
      <c r="C13" t="inlineStr">
        <is>
          <t>AC: 1.0V, 1.0Vp @ 1000Hz</t>
        </is>
      </c>
      <c r="D13" t="inlineStr">
        <is>
          <t>in, 0</t>
        </is>
      </c>
    </row>
    <row r="14">
      <c r="A14" t="inlineStr">
        <is>
          <t>R1</t>
        </is>
      </c>
      <c r="B14" t="inlineStr">
        <is>
          <t>Resistor</t>
        </is>
      </c>
      <c r="C14" t="inlineStr">
        <is>
          <t>15000 Ω</t>
        </is>
      </c>
      <c r="D14" t="inlineStr">
        <is>
          <t>in, out</t>
        </is>
      </c>
    </row>
    <row r="15">
      <c r="A15" t="inlineStr">
        <is>
          <t>C1</t>
        </is>
      </c>
      <c r="B15" t="inlineStr">
        <is>
          <t>Capacitor</t>
        </is>
      </c>
      <c r="C15" t="inlineStr">
        <is>
          <t>1e-08 F</t>
        </is>
      </c>
      <c r="D15" t="inlineStr">
        <is>
          <t>out, 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</cols>
  <sheetData>
    <row r="1">
      <c r="A1" s="1" t="inlineStr">
        <is>
          <t>DC Operating Point Analysis</t>
        </is>
      </c>
    </row>
    <row r="2"/>
    <row r="3">
      <c r="A3" s="2" t="inlineStr">
        <is>
          <t>Node Voltages</t>
        </is>
      </c>
    </row>
    <row r="4">
      <c r="A4" s="3" t="inlineStr">
        <is>
          <t>Node</t>
        </is>
      </c>
      <c r="B4" s="3" t="inlineStr">
        <is>
          <t>Voltage [V]</t>
        </is>
      </c>
    </row>
    <row r="5">
      <c r="A5" t="inlineStr">
        <is>
          <t>0</t>
        </is>
      </c>
      <c r="B5" s="4" t="n">
        <v>0</v>
      </c>
    </row>
    <row r="6">
      <c r="A6" t="inlineStr">
        <is>
          <t>in</t>
        </is>
      </c>
      <c r="B6" s="4" t="n">
        <v>0</v>
      </c>
    </row>
    <row r="7">
      <c r="A7" t="inlineStr">
        <is>
          <t>out</t>
        </is>
      </c>
      <c r="B7" s="4" t="n">
        <v>0</v>
      </c>
    </row>
    <row r="8"/>
    <row r="9">
      <c r="A9" s="2" t="inlineStr">
        <is>
          <t>Voltage Source Currents</t>
        </is>
      </c>
    </row>
    <row r="10">
      <c r="A10" s="3" t="inlineStr">
        <is>
          <t>Source</t>
        </is>
      </c>
      <c r="B10" s="3" t="inlineStr">
        <is>
          <t>Current [A]</t>
        </is>
      </c>
    </row>
    <row r="11">
      <c r="A11" t="inlineStr">
        <is>
          <t>Vin</t>
        </is>
      </c>
      <c r="B11" s="4" t="n">
        <v>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3" customWidth="1" min="3" max="3"/>
    <col width="24" customWidth="1" min="4" max="4"/>
    <col width="22" customWidth="1" min="5" max="5"/>
    <col width="25" customWidth="1" min="6" max="6"/>
    <col width="21" customWidth="1" min="7" max="7"/>
  </cols>
  <sheetData>
    <row r="1">
      <c r="A1" s="1" t="inlineStr">
        <is>
          <t>AC Frequency Sweep Analysis</t>
        </is>
      </c>
    </row>
    <row r="2">
      <c r="A2" s="5" t="inlineStr">
        <is>
          <t>Range: 10 Hz – 100000 Hz | 20 pts/decade</t>
        </is>
      </c>
    </row>
    <row r="3"/>
    <row r="4">
      <c r="A4" s="3" t="inlineStr">
        <is>
          <t>Frequency [Hz]</t>
        </is>
      </c>
      <c r="B4" s="3" t="inlineStr">
        <is>
          <t>|V(in)| [V]</t>
        </is>
      </c>
      <c r="C4" s="3" t="inlineStr">
        <is>
          <t>V(in) [dB]</t>
        </is>
      </c>
      <c r="D4" s="3" t="inlineStr">
        <is>
          <t>Phase(in) [°]</t>
        </is>
      </c>
      <c r="E4" s="3" t="inlineStr">
        <is>
          <t>|V(out)| [V]</t>
        </is>
      </c>
      <c r="F4" s="3" t="inlineStr">
        <is>
          <t>V(out) [dB]</t>
        </is>
      </c>
      <c r="G4" s="3" t="inlineStr">
        <is>
          <t>Phase(out) [°]</t>
        </is>
      </c>
    </row>
    <row r="5">
      <c r="A5" s="6" t="n">
        <v>10</v>
      </c>
      <c r="B5" s="4" t="n">
        <v>1</v>
      </c>
      <c r="C5" s="7" t="n">
        <v>0</v>
      </c>
      <c r="D5" s="7" t="n">
        <v>3.59968014523856e-17</v>
      </c>
      <c r="E5" s="4" t="n">
        <v>0.999955574740776</v>
      </c>
      <c r="F5" s="7" t="n">
        <v>-0.0003858814702676491</v>
      </c>
      <c r="G5" s="7" t="n">
        <v>-0.5399840039936704</v>
      </c>
    </row>
    <row r="6">
      <c r="A6" s="6" t="n">
        <v>11.22018454301964</v>
      </c>
      <c r="B6" s="4" t="n">
        <v>1</v>
      </c>
      <c r="C6" s="7" t="n">
        <v>0</v>
      </c>
      <c r="D6" s="7" t="n">
        <v>4.038814670390394e-17</v>
      </c>
      <c r="E6" s="4" t="n">
        <v>0.9999440767604308</v>
      </c>
      <c r="F6" s="7" t="n">
        <v>-0.0004857566697706651</v>
      </c>
      <c r="G6" s="7" t="n">
        <v>-0.6058673730283769</v>
      </c>
    </row>
    <row r="7">
      <c r="A7" s="6" t="n">
        <v>12.58925411794167</v>
      </c>
      <c r="B7" s="4" t="n">
        <v>1</v>
      </c>
      <c r="C7" s="7" t="n">
        <v>0</v>
      </c>
      <c r="D7" s="7" t="n">
        <v>4.531493400972485e-17</v>
      </c>
      <c r="E7" s="4" t="n">
        <v>0.9999296022247438</v>
      </c>
      <c r="F7" s="7" t="n">
        <v>-0.0006114888306197736</v>
      </c>
      <c r="G7" s="7" t="n">
        <v>-0.6797878130988511</v>
      </c>
    </row>
    <row r="8">
      <c r="A8" s="6" t="n">
        <v>14.12537544622754</v>
      </c>
      <c r="B8" s="4" t="n">
        <v>1</v>
      </c>
      <c r="C8" s="7" t="n">
        <v>0</v>
      </c>
      <c r="D8" s="7" t="n">
        <v>5.084233918927343e-17</v>
      </c>
      <c r="E8" s="4" t="n">
        <v>0.999911380757684</v>
      </c>
      <c r="F8" s="7" t="n">
        <v>-0.0007697710673335152</v>
      </c>
      <c r="G8" s="7" t="n">
        <v>-0.7627252050022363</v>
      </c>
    </row>
    <row r="9">
      <c r="A9" s="6" t="n">
        <v>15.84893192461113</v>
      </c>
      <c r="B9" s="4" t="n">
        <v>1</v>
      </c>
      <c r="C9" s="7" t="n">
        <v>0</v>
      </c>
      <c r="D9" s="7" t="n">
        <v>5.70434255781789e-17</v>
      </c>
      <c r="E9" s="4" t="n">
        <v>0.9998884427061141</v>
      </c>
      <c r="F9" s="7" t="n">
        <v>-0.0009690283951118649</v>
      </c>
      <c r="G9" s="7" t="n">
        <v>-0.8557786672176415</v>
      </c>
    </row>
    <row r="10">
      <c r="A10" s="6" t="n">
        <v>17.78279410038923</v>
      </c>
      <c r="B10" s="4" t="n">
        <v>1</v>
      </c>
      <c r="C10" s="7" t="n">
        <v>0</v>
      </c>
      <c r="D10" s="7" t="n">
        <v>6.400007961163734e-17</v>
      </c>
      <c r="E10" s="4" t="n">
        <v>0.9998595676546</v>
      </c>
      <c r="F10" s="7" t="n">
        <v>-0.001219865510050873</v>
      </c>
      <c r="G10" s="7" t="n">
        <v>-0.9601809707713252</v>
      </c>
    </row>
    <row r="11">
      <c r="A11" s="6" t="n">
        <v>19.9526231496888</v>
      </c>
      <c r="B11" s="4" t="n">
        <v>1</v>
      </c>
      <c r="C11" s="7" t="n">
        <v>0</v>
      </c>
      <c r="D11" s="7" t="n">
        <v>7.180404951900318e-17</v>
      </c>
      <c r="E11" s="4" t="n">
        <v>0.9998232196752594</v>
      </c>
      <c r="F11" s="7" t="n">
        <v>-0.001535630129473801</v>
      </c>
      <c r="G11" s="7" t="n">
        <v>-1.077314657639195</v>
      </c>
    </row>
    <row r="12">
      <c r="A12" s="6" t="n">
        <v>22.3872113856834</v>
      </c>
      <c r="B12" s="4" t="n">
        <v>1</v>
      </c>
      <c r="C12" s="7" t="n">
        <v>0</v>
      </c>
      <c r="D12" s="7" t="n">
        <v>8.055809517309411e-17</v>
      </c>
      <c r="E12" s="4" t="n">
        <v>0.999777465916469</v>
      </c>
      <c r="F12" s="7" t="n">
        <v>-0.001933121590957579</v>
      </c>
      <c r="G12" s="7" t="n">
        <v>-1.208730047777107</v>
      </c>
    </row>
    <row r="13">
      <c r="A13" s="6" t="n">
        <v>25.1188643150958</v>
      </c>
      <c r="B13" s="4" t="n">
        <v>1</v>
      </c>
      <c r="C13" s="7" t="n">
        <v>0</v>
      </c>
      <c r="D13" s="7" t="n">
        <v>9.037725626212494e-17</v>
      </c>
      <c r="E13" s="4" t="n">
        <v>0.99971987427733</v>
      </c>
      <c r="F13" s="7" t="n">
        <v>-0.002433481968257567</v>
      </c>
      <c r="G13" s="7" t="n">
        <v>-1.356165333104658</v>
      </c>
    </row>
    <row r="14">
      <c r="A14" s="6" t="n">
        <v>28.18382931264453</v>
      </c>
      <c r="B14" s="4" t="n">
        <v>1</v>
      </c>
      <c r="C14" s="7" t="n">
        <v>0</v>
      </c>
      <c r="D14" s="7" t="n">
        <v>1.013902442153783e-16</v>
      </c>
      <c r="E14" s="4" t="n">
        <v>0.9996473848490318</v>
      </c>
      <c r="F14" s="7" t="n">
        <v>-0.003063316403653356</v>
      </c>
      <c r="G14" s="7" t="n">
        <v>-1.521568967796603</v>
      </c>
    </row>
    <row r="15">
      <c r="A15" s="6" t="n">
        <v>31.62277660168379</v>
      </c>
      <c r="B15" s="4" t="n">
        <v>1</v>
      </c>
      <c r="C15" s="7" t="n">
        <v>0</v>
      </c>
      <c r="D15" s="7" t="n">
        <v>1.137409603084129e-16</v>
      </c>
      <c r="E15" s="4" t="n">
        <v>0.9995561484831827</v>
      </c>
      <c r="F15" s="7" t="n">
        <v>-0.003856101122248182</v>
      </c>
      <c r="G15" s="7" t="n">
        <v>-1.707124571238918</v>
      </c>
    </row>
    <row r="16">
      <c r="A16" s="6" t="n">
        <v>35.48133892335755</v>
      </c>
      <c r="B16" s="4" t="n">
        <v>1</v>
      </c>
      <c r="C16" s="7" t="n">
        <v>0</v>
      </c>
      <c r="D16" s="7" t="n">
        <v>1.275901375251868e-16</v>
      </c>
      <c r="E16" s="4" t="n">
        <v>0.9994413242166164</v>
      </c>
      <c r="F16" s="7" t="n">
        <v>-0.004853952216994553</v>
      </c>
      <c r="G16" s="7" t="n">
        <v>-1.915278560325463</v>
      </c>
    </row>
    <row r="17">
      <c r="A17" s="6" t="n">
        <v>39.81071705534973</v>
      </c>
      <c r="B17" s="4" t="n">
        <v>1</v>
      </c>
      <c r="C17" s="7" t="n">
        <v>0</v>
      </c>
      <c r="D17" s="7" t="n">
        <v>1.431170962573331e-16</v>
      </c>
      <c r="E17" s="4" t="n">
        <v>0.9992968252807756</v>
      </c>
      <c r="F17" s="7" t="n">
        <v>-0.006109846404067686</v>
      </c>
      <c r="G17" s="7" t="n">
        <v>-2.148770717566114</v>
      </c>
    </row>
    <row r="18">
      <c r="A18" s="6" t="n">
        <v>44.6683592150963</v>
      </c>
      <c r="B18" s="4" t="n">
        <v>1</v>
      </c>
      <c r="C18" s="7" t="n">
        <v>0</v>
      </c>
      <c r="D18" s="7" t="n">
        <v>1.605215926533176e-16</v>
      </c>
      <c r="E18" s="4" t="n">
        <v>0.9991150009850919</v>
      </c>
      <c r="F18" s="7" t="n">
        <v>-0.0076904072768848</v>
      </c>
      <c r="G18" s="7" t="n">
        <v>-2.410667875258397</v>
      </c>
    </row>
    <row r="19">
      <c r="A19" s="6" t="n">
        <v>50.11872336272725</v>
      </c>
      <c r="B19" s="4" t="n">
        <v>1</v>
      </c>
      <c r="C19" s="7" t="n">
        <v>0</v>
      </c>
      <c r="D19" s="7" t="n">
        <v>1.800257218428274e-16</v>
      </c>
      <c r="E19" s="4" t="n">
        <v>0.9988862388208835</v>
      </c>
      <c r="F19" s="7" t="n">
        <v>-0.009679397954943512</v>
      </c>
      <c r="G19" s="7" t="n">
        <v>-2.704400845963788</v>
      </c>
    </row>
    <row r="20">
      <c r="A20" s="6" t="n">
        <v>56.23413251903491</v>
      </c>
      <c r="B20" s="4" t="n">
        <v>1</v>
      </c>
      <c r="C20" s="7" t="n">
        <v>0</v>
      </c>
      <c r="D20" s="7" t="n">
        <v>2.018758142339171e-16</v>
      </c>
      <c r="E20" s="4" t="n">
        <v>0.9985984676271391</v>
      </c>
      <c r="F20" s="7" t="n">
        <v>-0.01218209431011641</v>
      </c>
      <c r="G20" s="7" t="n">
        <v>-3.033804644802847</v>
      </c>
    </row>
    <row r="21">
      <c r="A21" s="6" t="n">
        <v>63.09573444801933</v>
      </c>
      <c r="B21" s="4" t="n">
        <v>1</v>
      </c>
      <c r="C21" s="7" t="n">
        <v>0</v>
      </c>
      <c r="D21" s="7" t="n">
        <v>2.263442287441432e-16</v>
      </c>
      <c r="E21" s="4" t="n">
        <v>0.9982365385594483</v>
      </c>
      <c r="F21" s="7" t="n">
        <v>-0.01533075302599033</v>
      </c>
      <c r="G21" s="7" t="n">
        <v>-3.403161914436456</v>
      </c>
    </row>
    <row r="22">
      <c r="A22" s="6" t="n">
        <v>70.79457843841381</v>
      </c>
      <c r="B22" s="4" t="n">
        <v>1</v>
      </c>
      <c r="C22" s="7" t="n">
        <v>0</v>
      </c>
      <c r="D22" s="7" t="n">
        <v>2.537308983617273e-16</v>
      </c>
      <c r="E22" s="4" t="n">
        <v>0.9977814559294367</v>
      </c>
      <c r="F22" s="7" t="n">
        <v>-0.01929143632632751</v>
      </c>
      <c r="G22" s="7" t="n">
        <v>-3.817249258084905</v>
      </c>
    </row>
    <row r="23">
      <c r="A23" s="6" t="n">
        <v>79.43282347242814</v>
      </c>
      <c r="B23" s="4" t="n">
        <v>1</v>
      </c>
      <c r="C23" s="7" t="n">
        <v>0</v>
      </c>
      <c r="D23" s="7" t="n">
        <v>2.843644158533062e-16</v>
      </c>
      <c r="E23" s="4" t="n">
        <v>0.9972094248559206</v>
      </c>
      <c r="F23" s="7" t="n">
        <v>-0.0242725106341111</v>
      </c>
      <c r="G23" s="7" t="n">
        <v>-4.281385881030573</v>
      </c>
    </row>
    <row r="24">
      <c r="A24" s="6" t="n">
        <v>89.12509381337459</v>
      </c>
      <c r="B24" s="4" t="n">
        <v>1</v>
      </c>
      <c r="C24" s="7" t="n">
        <v>0</v>
      </c>
      <c r="D24" s="7" t="n">
        <v>3.186023544196659e-16</v>
      </c>
      <c r="E24" s="4" t="n">
        <v>0.9964906773870095</v>
      </c>
      <c r="F24" s="7" t="n">
        <v>-0.03053519924614115</v>
      </c>
      <c r="G24" s="7" t="n">
        <v>-4.801483498485226</v>
      </c>
    </row>
    <row r="25">
      <c r="A25" s="6" t="n">
        <v>100</v>
      </c>
      <c r="B25" s="4" t="n">
        <v>1</v>
      </c>
      <c r="C25" s="7" t="n">
        <v>0</v>
      </c>
      <c r="D25" s="7" t="n">
        <v>3.568303919687726e-16</v>
      </c>
      <c r="E25" s="4" t="n">
        <v>0.9955880339008651</v>
      </c>
      <c r="F25" s="7" t="n">
        <v>-0.03840663745319099</v>
      </c>
      <c r="G25" s="7" t="n">
        <v>-5.38409583710673</v>
      </c>
    </row>
    <row r="26">
      <c r="A26" s="6" t="n">
        <v>112.2018454301963</v>
      </c>
      <c r="B26" s="4" t="n">
        <v>1</v>
      </c>
      <c r="C26" s="7" t="n">
        <v>0</v>
      </c>
      <c r="D26" s="7" t="n">
        <v>3.99459639707907e-16</v>
      </c>
      <c r="E26" s="4" t="n">
        <v>0.9944551532207644</v>
      </c>
      <c r="F26" s="7" t="n">
        <v>-0.04829594808433653</v>
      </c>
      <c r="G26" s="7" t="n">
        <v>-6.036465174203547</v>
      </c>
    </row>
    <row r="27">
      <c r="A27" s="6" t="n">
        <v>125.8925411794168</v>
      </c>
      <c r="B27" s="4" t="n">
        <v>1</v>
      </c>
      <c r="C27" s="7" t="n">
        <v>0</v>
      </c>
      <c r="D27" s="7" t="n">
        <v>4.4692135722521e-16</v>
      </c>
      <c r="E27" s="4" t="n">
        <v>0.9930344247491583</v>
      </c>
      <c r="F27" s="7" t="n">
        <v>-0.06071391791797452</v>
      </c>
      <c r="G27" s="7" t="n">
        <v>-6.766562142862472</v>
      </c>
    </row>
    <row r="28">
      <c r="A28" s="6" t="n">
        <v>141.2537544622755</v>
      </c>
      <c r="B28" s="4" t="n">
        <v>1</v>
      </c>
      <c r="C28" s="7" t="n">
        <v>0</v>
      </c>
      <c r="D28" s="7" t="n">
        <v>4.996579607301508e-16</v>
      </c>
      <c r="E28" s="4" t="n">
        <v>0.9912544618547264</v>
      </c>
      <c r="F28" s="7" t="n">
        <v>-0.07629689629586306</v>
      </c>
      <c r="G28" s="7" t="n">
        <v>-7.583113389435616</v>
      </c>
    </row>
    <row r="29">
      <c r="A29" s="6" t="n">
        <v>158.4893192461114</v>
      </c>
      <c r="B29" s="4" t="n">
        <v>1</v>
      </c>
      <c r="C29" s="7" t="n">
        <v>0</v>
      </c>
      <c r="D29" s="7" t="n">
        <v>5.581088991581505e-16</v>
      </c>
      <c r="E29" s="4" t="n">
        <v>0.9890271720562227</v>
      </c>
      <c r="F29" s="7" t="n">
        <v>-0.09583553282941529</v>
      </c>
      <c r="G29" s="7" t="n">
        <v>-8.495609502611419</v>
      </c>
    </row>
    <row r="30">
      <c r="A30" s="6" t="n">
        <v>177.8279410038923</v>
      </c>
      <c r="B30" s="4" t="n">
        <v>1</v>
      </c>
      <c r="C30" s="7" t="n">
        <v>0</v>
      </c>
      <c r="D30" s="7" t="n">
        <v>6.226896000499821e-16</v>
      </c>
      <c r="E30" s="4" t="n">
        <v>0.9862444125659996</v>
      </c>
      <c r="F30" s="7" t="n">
        <v>-0.12030888424115</v>
      </c>
      <c r="G30" s="7" t="n">
        <v>-9.51428285367346</v>
      </c>
    </row>
    <row r="31">
      <c r="A31" s="6" t="n">
        <v>199.5262314968879</v>
      </c>
      <c r="B31" s="4" t="n">
        <v>1</v>
      </c>
      <c r="C31" s="7" t="n">
        <v>0</v>
      </c>
      <c r="D31" s="7" t="n">
        <v>6.937613178351767e-16</v>
      </c>
      <c r="E31" s="4" t="n">
        <v>0.9827742982713997</v>
      </c>
      <c r="F31" s="7" t="n">
        <v>-0.1509241961562339</v>
      </c>
      <c r="G31" s="7" t="n">
        <v>-10.65004155788521</v>
      </c>
    </row>
    <row r="32">
      <c r="A32" s="6" t="n">
        <v>223.872113856834</v>
      </c>
      <c r="B32" s="4" t="n">
        <v>1</v>
      </c>
      <c r="C32" s="7" t="n">
        <v>0</v>
      </c>
      <c r="D32" s="7" t="n">
        <v>7.715894450391824e-16</v>
      </c>
      <c r="E32" s="4" t="n">
        <v>0.9784573245901342</v>
      </c>
      <c r="F32" s="7" t="n">
        <v>-0.1891622268786252</v>
      </c>
      <c r="G32" s="7" t="n">
        <v>-11.91434176523685</v>
      </c>
    </row>
    <row r="33">
      <c r="A33" s="6" t="n">
        <v>251.1886431509582</v>
      </c>
      <c r="B33" s="4" t="n">
        <v>1</v>
      </c>
      <c r="C33" s="7" t="n">
        <v>0</v>
      </c>
      <c r="D33" s="7" t="n">
        <v>8.56287842848295e-16</v>
      </c>
      <c r="E33" s="4" t="n">
        <v>0.9731026129169581</v>
      </c>
      <c r="F33" s="7" t="n">
        <v>-0.2368272260020703</v>
      </c>
      <c r="G33" s="7" t="n">
        <v>-13.31897621701739</v>
      </c>
    </row>
    <row r="34">
      <c r="A34" s="6" t="n">
        <v>281.8382931264455</v>
      </c>
      <c r="B34" s="4" t="n">
        <v>1</v>
      </c>
      <c r="C34" s="7" t="n">
        <v>0</v>
      </c>
      <c r="D34" s="7" t="n">
        <v>9.477472905089817e-16</v>
      </c>
      <c r="E34" s="4" t="n">
        <v>0.9664847936414118</v>
      </c>
      <c r="F34" s="7" t="n">
        <v>-0.2960994926066974</v>
      </c>
      <c r="G34" s="7" t="n">
        <v>-14.87575314906672</v>
      </c>
    </row>
    <row r="35">
      <c r="A35" s="6" t="n">
        <v>316.227766016838</v>
      </c>
      <c r="B35" s="4" t="n">
        <v>1</v>
      </c>
      <c r="C35" s="7" t="n">
        <v>0</v>
      </c>
      <c r="D35" s="7" t="n">
        <v>1.045547651012365e-15</v>
      </c>
      <c r="E35" s="4" t="n">
        <v>0.9583423158184723</v>
      </c>
      <c r="F35" s="7" t="n">
        <v>-0.3695867011752727</v>
      </c>
      <c r="G35" s="7" t="n">
        <v>-16.59603746142539</v>
      </c>
    </row>
    <row r="36">
      <c r="A36" s="6" t="n">
        <v>354.8133892335753</v>
      </c>
      <c r="B36" s="4" t="n">
        <v>1</v>
      </c>
      <c r="C36" s="7" t="n">
        <v>0</v>
      </c>
      <c r="D36" s="7" t="n">
        <v>1.148856318564098e-15</v>
      </c>
      <c r="E36" s="4" t="n">
        <v>0.9483782998589945</v>
      </c>
      <c r="F36" s="7" t="n">
        <v>-0.460367836165349</v>
      </c>
      <c r="G36" s="7" t="n">
        <v>-18.49012769094202</v>
      </c>
    </row>
    <row r="37">
      <c r="A37" s="6" t="n">
        <v>398.1071705534973</v>
      </c>
      <c r="B37" s="4" t="n">
        <v>1</v>
      </c>
      <c r="C37" s="7" t="n">
        <v>0</v>
      </c>
      <c r="D37" s="7" t="n">
        <v>1.256320455602046e-15</v>
      </c>
      <c r="E37" s="4" t="n">
        <v>0.9362653805374711</v>
      </c>
      <c r="F37" s="7" t="n">
        <v>-0.5720206968735908</v>
      </c>
      <c r="G37" s="7" t="n">
        <v>-20.56645070913807</v>
      </c>
    </row>
    <row r="38">
      <c r="A38" s="6" t="n">
        <v>446.6835921509635</v>
      </c>
      <c r="B38" s="4" t="n">
        <v>1</v>
      </c>
      <c r="C38" s="7" t="n">
        <v>0</v>
      </c>
      <c r="D38" s="7" t="n">
        <v>1.365967647706695e-15</v>
      </c>
      <c r="E38" s="4" t="n">
        <v>0.9216562156612783</v>
      </c>
      <c r="F38" s="7" t="n">
        <v>-0.7086208735797189</v>
      </c>
      <c r="G38" s="7" t="n">
        <v>-22.83057488185865</v>
      </c>
    </row>
    <row r="39">
      <c r="A39" s="6" t="n">
        <v>501.1872336272725</v>
      </c>
      <c r="B39" s="4" t="n">
        <v>1</v>
      </c>
      <c r="C39" s="7" t="n">
        <v>0</v>
      </c>
      <c r="D39" s="7" t="n">
        <v>1.475138295608739e-15</v>
      </c>
      <c r="E39" s="4" t="n">
        <v>0.9042012820709563</v>
      </c>
      <c r="F39" s="7" t="n">
        <v>-0.8746976302648167</v>
      </c>
      <c r="G39" s="7" t="n">
        <v>-25.28407507009807</v>
      </c>
    </row>
    <row r="40">
      <c r="A40" s="6" t="n">
        <v>562.341325190349</v>
      </c>
      <c r="B40" s="4" t="n">
        <v>1</v>
      </c>
      <c r="C40" s="7" t="n">
        <v>0</v>
      </c>
      <c r="D40" s="7" t="n">
        <v>1.580481238627937e-15</v>
      </c>
      <c r="E40" s="4" t="n">
        <v>0.8835750054002324</v>
      </c>
      <c r="F40" s="7" t="n">
        <v>-1.075131559277978</v>
      </c>
      <c r="G40" s="7" t="n">
        <v>-27.92333049275769</v>
      </c>
    </row>
    <row r="41">
      <c r="A41" s="6" t="n">
        <v>630.957344480193</v>
      </c>
      <c r="B41" s="4" t="n">
        <v>1</v>
      </c>
      <c r="C41" s="7" t="n">
        <v>0</v>
      </c>
      <c r="D41" s="7" t="n">
        <v>1.678047726612931e-15</v>
      </c>
      <c r="E41" s="4" t="n">
        <v>0.8595099408858392</v>
      </c>
      <c r="F41" s="7" t="n">
        <v>-1.31498192004122</v>
      </c>
      <c r="G41" s="7" t="n">
        <v>-30.73839502096077</v>
      </c>
    </row>
    <row r="42">
      <c r="A42" s="6" t="n">
        <v>707.9457843841381</v>
      </c>
      <c r="B42" s="4" t="n">
        <v>1</v>
      </c>
      <c r="C42" s="7" t="n">
        <v>0</v>
      </c>
      <c r="D42" s="7" t="n">
        <v>1.763512380712538e-15</v>
      </c>
      <c r="E42" s="4" t="n">
        <v>0.8318365638358954</v>
      </c>
      <c r="F42" s="7" t="n">
        <v>-1.599239877951014</v>
      </c>
      <c r="G42" s="7" t="n">
        <v>-33.71213639277587</v>
      </c>
    </row>
    <row r="43">
      <c r="A43" s="6" t="n">
        <v>794.3282347242822</v>
      </c>
      <c r="B43" s="4" t="n">
        <v>1</v>
      </c>
      <c r="C43" s="7" t="n">
        <v>0</v>
      </c>
      <c r="D43" s="7" t="n">
        <v>1.832528350111543e-15</v>
      </c>
      <c r="E43" s="4" t="n">
        <v>0.8005235279679059</v>
      </c>
      <c r="F43" s="7" t="n">
        <v>-1.932517986537045</v>
      </c>
      <c r="G43" s="7" t="n">
        <v>-36.8198741382822</v>
      </c>
    </row>
    <row r="44">
      <c r="A44" s="6" t="n">
        <v>891.2509381337459</v>
      </c>
      <c r="B44" s="4" t="n">
        <v>1</v>
      </c>
      <c r="C44" s="7" t="n">
        <v>0</v>
      </c>
      <c r="D44" s="7" t="n">
        <v>1.881187377842474e-15</v>
      </c>
      <c r="E44" s="4" t="n">
        <v>0.7657108088311684</v>
      </c>
      <c r="F44" s="7" t="n">
        <v>-2.318704446586684</v>
      </c>
      <c r="G44" s="7" t="n">
        <v>-40.02972874848565</v>
      </c>
    </row>
    <row r="45">
      <c r="A45" s="6" t="n">
        <v>1000</v>
      </c>
      <c r="B45" s="4" t="n">
        <v>1</v>
      </c>
      <c r="C45" s="7" t="n">
        <v>0</v>
      </c>
      <c r="D45" s="7" t="n">
        <v>1.906512642108675e-15</v>
      </c>
      <c r="E45" s="4" t="n">
        <v>0.7277271776086061</v>
      </c>
      <c r="F45" s="7" t="n">
        <v>-2.760628113360222</v>
      </c>
      <c r="G45" s="7" t="n">
        <v>-43.30380687820531</v>
      </c>
    </row>
    <row r="46">
      <c r="A46" s="6" t="n">
        <v>1122.018454301964</v>
      </c>
      <c r="B46" s="4" t="n">
        <v>1</v>
      </c>
      <c r="C46" s="7" t="n">
        <v>0</v>
      </c>
      <c r="D46" s="7" t="n">
        <v>1.906880651362853e-15</v>
      </c>
      <c r="E46" s="4" t="n">
        <v>0.6870850605266809</v>
      </c>
      <c r="F46" s="7" t="n">
        <v>-3.259789886738551</v>
      </c>
      <c r="G46" s="7" t="n">
        <v>-46.60019240946699</v>
      </c>
    </row>
    <row r="47">
      <c r="A47" s="6" t="n">
        <v>1258.925411794168</v>
      </c>
      <c r="B47" s="4" t="n">
        <v>1</v>
      </c>
      <c r="C47" s="7" t="n">
        <v>0</v>
      </c>
      <c r="D47" s="7" t="n">
        <v>1.882267435358123e-15</v>
      </c>
      <c r="E47" s="4" t="n">
        <v>0.6444502759042474</v>
      </c>
      <c r="F47" s="7" t="n">
        <v>-3.816211720858096</v>
      </c>
      <c r="G47" s="7" t="n">
        <v>-49.87552772587161</v>
      </c>
    </row>
    <row r="48">
      <c r="A48" s="6" t="n">
        <v>1412.537544622754</v>
      </c>
      <c r="B48" s="4" t="n">
        <v>1</v>
      </c>
      <c r="C48" s="7" t="n">
        <v>0</v>
      </c>
      <c r="D48" s="7" t="n">
        <v>1.834252263036767e-15</v>
      </c>
      <c r="E48" s="4" t="n">
        <v>0.6005902552938013</v>
      </c>
      <c r="F48" s="7" t="n">
        <v>-4.428434372026896</v>
      </c>
      <c r="G48" s="7" t="n">
        <v>-53.08781608036683</v>
      </c>
    </row>
    <row r="49">
      <c r="A49" s="6" t="n">
        <v>1584.893192461114</v>
      </c>
      <c r="B49" s="4" t="n">
        <v>1</v>
      </c>
      <c r="C49" s="7" t="n">
        <v>0</v>
      </c>
      <c r="D49" s="7" t="n">
        <v>1.76577784982629e-15</v>
      </c>
      <c r="E49" s="4" t="n">
        <v>0.5563098914245201</v>
      </c>
      <c r="F49" s="7" t="n">
        <v>-5.093664361028972</v>
      </c>
      <c r="G49" s="7" t="n">
        <v>-56.19901510430258</v>
      </c>
    </row>
    <row r="50">
      <c r="A50" s="6" t="n">
        <v>1778.279410038923</v>
      </c>
      <c r="B50" s="4" t="n">
        <v>1</v>
      </c>
      <c r="C50" s="7" t="n">
        <v>0</v>
      </c>
      <c r="D50" s="7" t="n">
        <v>1.680732194376329e-15</v>
      </c>
      <c r="E50" s="4" t="n">
        <v>0.5123868898150618</v>
      </c>
      <c r="F50" s="7" t="n">
        <v>-5.808039817181509</v>
      </c>
      <c r="G50" s="7" t="n">
        <v>-59.17704901933637</v>
      </c>
    </row>
    <row r="51">
      <c r="A51" s="6" t="n">
        <v>1995.262314968881</v>
      </c>
      <c r="B51" s="4" t="n">
        <v>1</v>
      </c>
      <c r="C51" s="7" t="n">
        <v>0</v>
      </c>
      <c r="D51" s="7" t="n">
        <v>1.583456243457798e-15</v>
      </c>
      <c r="E51" s="4" t="n">
        <v>0.4695174988540085</v>
      </c>
      <c r="F51" s="7" t="n">
        <v>-6.566964339986598</v>
      </c>
      <c r="G51" s="7" t="n">
        <v>-61.99701864211534</v>
      </c>
    </row>
    <row r="52">
      <c r="A52" s="6" t="n">
        <v>2238.72113856834</v>
      </c>
      <c r="B52" s="4" t="n">
        <v>1</v>
      </c>
      <c r="C52" s="7" t="n">
        <v>0</v>
      </c>
      <c r="D52" s="7" t="n">
        <v>1.478281649153531e-15</v>
      </c>
      <c r="E52" s="4" t="n">
        <v>0.4282795547480734</v>
      </c>
      <c r="F52" s="7" t="n">
        <v>-7.365453150034009</v>
      </c>
      <c r="G52" s="7" t="n">
        <v>-64.64157377219888</v>
      </c>
    </row>
    <row r="53">
      <c r="A53" s="6" t="n">
        <v>2511.886431509582</v>
      </c>
      <c r="B53" s="4" t="n">
        <v>1</v>
      </c>
      <c r="C53" s="7" t="n">
        <v>1.928654933106574e-15</v>
      </c>
      <c r="D53" s="7" t="n">
        <v>1.369171932684672e-15</v>
      </c>
      <c r="E53" s="4" t="n">
        <v>0.3891147945880774</v>
      </c>
      <c r="F53" s="7" t="n">
        <v>-8.198445130220929</v>
      </c>
      <c r="G53" s="7" t="n">
        <v>-67.10056909170906</v>
      </c>
    </row>
    <row r="54">
      <c r="A54" s="6" t="n">
        <v>2818.382931264455</v>
      </c>
      <c r="B54" s="4" t="n">
        <v>1</v>
      </c>
      <c r="C54" s="7" t="n">
        <v>1.928654933106574e-15</v>
      </c>
      <c r="D54" s="7" t="n">
        <v>1.259497568406981e-15</v>
      </c>
      <c r="E54" s="4" t="n">
        <v>0.3523282091151847</v>
      </c>
      <c r="F54" s="7" t="n">
        <v>-9.061051673836912</v>
      </c>
      <c r="G54" s="7" t="n">
        <v>-69.37021460479114</v>
      </c>
    </row>
    <row r="55">
      <c r="A55" s="6" t="n">
        <v>3162.277660168379</v>
      </c>
      <c r="B55" s="4" t="n">
        <v>1</v>
      </c>
      <c r="C55" s="7" t="n">
        <v>1.928654933106574e-15</v>
      </c>
      <c r="D55" s="7" t="n">
        <v>1.151938649919613e-15</v>
      </c>
      <c r="E55" s="4" t="n">
        <v>0.3180998209212757</v>
      </c>
      <c r="F55" s="7" t="n">
        <v>-9.948731507693896</v>
      </c>
      <c r="G55" s="7" t="n">
        <v>-71.45195074786885</v>
      </c>
    </row>
    <row r="56">
      <c r="A56" s="6" t="n">
        <v>3548.133892335757</v>
      </c>
      <c r="B56" s="4" t="n">
        <v>1</v>
      </c>
      <c r="C56" s="7" t="n">
        <v>1.928654933106574e-15</v>
      </c>
      <c r="D56" s="7" t="n">
        <v>1.048486894699389e-15</v>
      </c>
      <c r="E56" s="4" t="n">
        <v>0.2865037118081847</v>
      </c>
      <c r="F56" s="7" t="n">
        <v>-10.85739494287631</v>
      </c>
      <c r="G56" s="7" t="n">
        <v>-73.35124609162989</v>
      </c>
    </row>
    <row r="57">
      <c r="A57" s="6" t="n">
        <v>3981.071705534973</v>
      </c>
      <c r="B57" s="4" t="n">
        <v>1</v>
      </c>
      <c r="C57" s="7" t="n">
        <v>1.928654933106574e-15</v>
      </c>
      <c r="D57" s="7" t="n">
        <v>9.505118876751894e-16</v>
      </c>
      <c r="E57" s="4" t="n">
        <v>0.2575298210153894</v>
      </c>
      <c r="F57" s="7" t="n">
        <v>-11.78344947983024</v>
      </c>
      <c r="G57" s="7" t="n">
        <v>-75.0764589720787</v>
      </c>
    </row>
    <row r="58">
      <c r="A58" s="6" t="n">
        <v>4466.835921509635</v>
      </c>
      <c r="B58" s="4" t="n">
        <v>1</v>
      </c>
      <c r="C58" s="7" t="n">
        <v>1.928654933106574e-15</v>
      </c>
      <c r="D58" s="7" t="n">
        <v>8.588598749052269e-16</v>
      </c>
      <c r="E58" s="4" t="n">
        <v>0.2311053004956405</v>
      </c>
      <c r="F58" s="7" t="n">
        <v>-12.72380187366235</v>
      </c>
      <c r="G58" s="7" t="n">
        <v>-76.63784566204112</v>
      </c>
    </row>
    <row r="59">
      <c r="A59" s="6" t="n">
        <v>5011.872336272725</v>
      </c>
      <c r="B59" s="4" t="n">
        <v>1</v>
      </c>
      <c r="C59" s="7" t="n">
        <v>1.928654933106574e-15</v>
      </c>
      <c r="D59" s="7" t="n">
        <v>7.739615277731492e-16</v>
      </c>
      <c r="E59" s="4" t="n">
        <v>0.207113513535285</v>
      </c>
      <c r="F59" s="7" t="n">
        <v>-13.67583127540583</v>
      </c>
      <c r="G59" s="7" t="n">
        <v>-78.04674964316784</v>
      </c>
    </row>
    <row r="60">
      <c r="A60" s="6" t="n">
        <v>5623.413251903491</v>
      </c>
      <c r="B60" s="4" t="n">
        <v>1</v>
      </c>
      <c r="C60" s="7" t="n">
        <v>1.928654933106574e-15</v>
      </c>
      <c r="D60" s="7" t="n">
        <v>6.959338122684774e-16</v>
      </c>
      <c r="E60" s="4" t="n">
        <v>0.1854098140386832</v>
      </c>
      <c r="F60" s="7" t="n">
        <v>-14.63734563359945</v>
      </c>
      <c r="G60" s="7" t="n">
        <v>-79.31497345745447</v>
      </c>
    </row>
    <row r="61">
      <c r="A61" s="6" t="n">
        <v>6309.573444801937</v>
      </c>
      <c r="B61" s="4" t="n">
        <v>1</v>
      </c>
      <c r="C61" s="7" t="n">
        <v>1.928654933106574e-15</v>
      </c>
      <c r="D61" s="7" t="n">
        <v>6.246682784149095e-16</v>
      </c>
      <c r="E61" s="4" t="n">
        <v>0.1658339616408695</v>
      </c>
      <c r="F61" s="7" t="n">
        <v>-15.60653048381618</v>
      </c>
      <c r="G61" s="7" t="n">
        <v>-80.45431544303884</v>
      </c>
    </row>
    <row r="62">
      <c r="A62" s="6" t="n">
        <v>7079.457843841381</v>
      </c>
      <c r="B62" s="4" t="n">
        <v>1</v>
      </c>
      <c r="C62" s="7" t="n">
        <v>1.928654933106574e-15</v>
      </c>
      <c r="D62" s="7" t="n">
        <v>5.599030902880935e-16</v>
      </c>
      <c r="E62" s="4" t="n">
        <v>0.1482194447041124</v>
      </c>
      <c r="F62" s="7" t="n">
        <v>-16.58189636252545</v>
      </c>
      <c r="G62" s="7" t="n">
        <v>-81.4762450228713</v>
      </c>
    </row>
    <row r="63">
      <c r="A63" s="6" t="n">
        <v>7943.282347242822</v>
      </c>
      <c r="B63" s="4" t="n">
        <v>1</v>
      </c>
      <c r="C63" s="7" t="n">
        <v>1.928654933106574e-15</v>
      </c>
      <c r="D63" s="7" t="n">
        <v>5.012791360998521e-16</v>
      </c>
      <c r="E63" s="4" t="n">
        <v>0.1324001765312614</v>
      </c>
      <c r="F63" s="7" t="n">
        <v>-17.56222871688384</v>
      </c>
      <c r="G63" s="7" t="n">
        <v>-82.39168844729002</v>
      </c>
    </row>
    <row r="64">
      <c r="A64" s="6" t="n">
        <v>8912.509381337459</v>
      </c>
      <c r="B64" s="4" t="n">
        <v>1</v>
      </c>
      <c r="C64" s="7" t="n">
        <v>1.928654933106574e-15</v>
      </c>
      <c r="D64" s="7" t="n">
        <v>4.483820910116972e-16</v>
      </c>
      <c r="E64" s="4" t="n">
        <v>0.1182150794918627</v>
      </c>
      <c r="F64" s="7" t="n">
        <v>-18.54654242808049</v>
      </c>
      <c r="G64" s="7" t="n">
        <v>-83.21089897636408</v>
      </c>
    </row>
    <row r="65">
      <c r="A65" s="6" t="n">
        <v>10000</v>
      </c>
      <c r="B65" s="4" t="n">
        <v>1</v>
      </c>
      <c r="C65" s="7" t="n">
        <v>1.928654933106574e-15</v>
      </c>
      <c r="D65" s="7" t="n">
        <v>4.007728698182485e-16</v>
      </c>
      <c r="E65" s="4" t="n">
        <v>0.1055110407359039</v>
      </c>
      <c r="F65" s="7" t="n">
        <v>-19.53404186328817</v>
      </c>
      <c r="G65" s="7" t="n">
        <v>-83.94338931559588</v>
      </c>
    </row>
    <row r="66">
      <c r="A66" s="6" t="n">
        <v>11220.18454301965</v>
      </c>
      <c r="B66" s="4" t="n">
        <v>1</v>
      </c>
      <c r="C66" s="7" t="n">
        <v>1.928654933106574e-15</v>
      </c>
      <c r="D66" s="7" t="n">
        <v>3.580089139600285e-16</v>
      </c>
      <c r="E66" s="4" t="n">
        <v>0.09414465530753995</v>
      </c>
      <c r="F66" s="7" t="n">
        <v>-20.5240866061655</v>
      </c>
      <c r="G66" s="7" t="n">
        <v>-84.59790839026702</v>
      </c>
    </row>
    <row r="67">
      <c r="A67" s="6" t="n">
        <v>12589.25411794166</v>
      </c>
      <c r="B67" s="4" t="n">
        <v>1</v>
      </c>
      <c r="C67" s="7" t="n">
        <v>1.928654933106574e-15</v>
      </c>
      <c r="D67" s="7" t="n">
        <v>3.196584901596992e-16</v>
      </c>
      <c r="E67" s="4" t="n">
        <v>0.08398309423184579</v>
      </c>
      <c r="F67" s="7" t="n">
        <v>-21.51616256941746</v>
      </c>
      <c r="G67" s="7" t="n">
        <v>-85.18244855898999</v>
      </c>
    </row>
    <row r="68">
      <c r="A68" s="6" t="n">
        <v>14125.37544622755</v>
      </c>
      <c r="B68" s="4" t="n">
        <v>1</v>
      </c>
      <c r="C68" s="7" t="n">
        <v>1.928654933106574e-15</v>
      </c>
      <c r="D68" s="7" t="n">
        <v>2.853098099002414e-16</v>
      </c>
      <c r="E68" s="4" t="n">
        <v>0.07490436071757615</v>
      </c>
      <c r="F68" s="7" t="n">
        <v>-22.50985796364684</v>
      </c>
      <c r="G68" s="7" t="n">
        <v>-85.70427281525734</v>
      </c>
    </row>
    <row r="69">
      <c r="A69" s="6" t="n">
        <v>15848.93192461114</v>
      </c>
      <c r="B69" s="4" t="n">
        <v>1</v>
      </c>
      <c r="C69" s="7" t="n">
        <v>1.928654933106574e-15</v>
      </c>
      <c r="D69" s="7" t="n">
        <v>2.545764054611814e-16</v>
      </c>
      <c r="E69" s="4" t="n">
        <v>0.06679713332943678</v>
      </c>
      <c r="F69" s="7" t="n">
        <v>-23.504843506753</v>
      </c>
      <c r="G69" s="7" t="n">
        <v>-86.16995432418794</v>
      </c>
    </row>
    <row r="70">
      <c r="A70" s="6" t="n">
        <v>17782.79410038923</v>
      </c>
      <c r="B70" s="4" t="n">
        <v>1</v>
      </c>
      <c r="C70" s="7" t="n">
        <v>1.928654933106574e-15</v>
      </c>
      <c r="D70" s="7" t="n">
        <v>2.270998647521866e-16</v>
      </c>
      <c r="E70" s="4" t="n">
        <v>0.05956034262626565</v>
      </c>
      <c r="F70" s="7" t="n">
        <v>-24.50085625188664</v>
      </c>
      <c r="G70" s="7" t="n">
        <v>-86.58542282563467</v>
      </c>
    </row>
    <row r="71">
      <c r="A71" s="6" t="n">
        <v>19952.62314968883</v>
      </c>
      <c r="B71" s="4" t="n">
        <v>1</v>
      </c>
      <c r="C71" s="7" t="n">
        <v>1.928654933106574e-15</v>
      </c>
      <c r="D71" s="7" t="n">
        <v>2.025507499797723e-16</v>
      </c>
      <c r="E71" s="4" t="n">
        <v>0.05310258678871053</v>
      </c>
      <c r="F71" s="7" t="n">
        <v>-25.49768645193009</v>
      </c>
      <c r="G71" s="7" t="n">
        <v>-86.95601409052998</v>
      </c>
    </row>
    <row r="72">
      <c r="A72" s="6" t="n">
        <v>22387.21138568338</v>
      </c>
      <c r="B72" s="4" t="n">
        <v>1</v>
      </c>
      <c r="C72" s="7" t="n">
        <v>1.928654933106574e-15</v>
      </c>
      <c r="D72" s="7" t="n">
        <v>1.806283050612335e-16</v>
      </c>
      <c r="E72" s="4" t="n">
        <v>0.04734146061355494</v>
      </c>
      <c r="F72" s="7" t="n">
        <v>-26.49516694055043</v>
      </c>
      <c r="G72" s="7" t="n">
        <v>-87.2865198441929</v>
      </c>
    </row>
    <row r="73">
      <c r="A73" s="6" t="n">
        <v>25118.86431509582</v>
      </c>
      <c r="B73" s="4" t="n">
        <v>1</v>
      </c>
      <c r="C73" s="7" t="n">
        <v>1.928654933106574e-15</v>
      </c>
      <c r="D73" s="7" t="n">
        <v>1.610593873776897e-16</v>
      </c>
      <c r="E73" s="4" t="n">
        <v>0.04220284910077217</v>
      </c>
      <c r="F73" s="7" t="n">
        <v>-27.49316457935596</v>
      </c>
      <c r="G73" s="7" t="n">
        <v>-87.5812364620577</v>
      </c>
    </row>
    <row r="74">
      <c r="A74" s="6" t="n">
        <v>28183.82931264455</v>
      </c>
      <c r="B74" s="4" t="n">
        <v>1</v>
      </c>
      <c r="C74" s="7" t="n">
        <v>1.928654933106574e-15</v>
      </c>
      <c r="D74" s="7" t="n">
        <v>1.435969322331605e-16</v>
      </c>
      <c r="E74" s="4" t="n">
        <v>0.03762021996553615</v>
      </c>
      <c r="F74" s="7" t="n">
        <v>-28.49157338914221</v>
      </c>
      <c r="G74" s="7" t="n">
        <v>-87.84401138025932</v>
      </c>
    </row>
    <row r="75">
      <c r="A75" s="6" t="n">
        <v>31622.77660168379</v>
      </c>
      <c r="B75" s="4" t="n">
        <v>1</v>
      </c>
      <c r="C75" s="7" t="n">
        <v>1.928654933106574e-15</v>
      </c>
      <c r="D75" s="7" t="n">
        <v>1.280181645208586e-16</v>
      </c>
      <c r="E75" s="4" t="n">
        <v>0.03353393727753322</v>
      </c>
      <c r="F75" s="7" t="n">
        <v>-29.49030904623476</v>
      </c>
      <c r="G75" s="7" t="n">
        <v>-88.0782866107794</v>
      </c>
    </row>
    <row r="76">
      <c r="A76" s="6" t="n">
        <v>35481.3389233576</v>
      </c>
      <c r="B76" s="4" t="n">
        <v>1</v>
      </c>
      <c r="C76" s="7" t="n">
        <v>1.928654933106574e-15</v>
      </c>
      <c r="D76" s="7" t="n">
        <v>1.141227038730734e-16</v>
      </c>
      <c r="E76" s="4" t="n">
        <v>0.02989060985333844</v>
      </c>
      <c r="F76" s="7" t="n">
        <v>-30.4893044805876</v>
      </c>
      <c r="G76" s="7" t="n">
        <v>-88.28713905918249</v>
      </c>
    </row>
    <row r="77">
      <c r="A77" s="6" t="n">
        <v>39810.71705534969</v>
      </c>
      <c r="B77" s="4" t="n">
        <v>1</v>
      </c>
      <c r="C77" s="7" t="n">
        <v>1.928654933106574e-15</v>
      </c>
      <c r="D77" s="7" t="n">
        <v>1.01730660625246e-16</v>
      </c>
      <c r="E77" s="4" t="n">
        <v>0.0266424820588943</v>
      </c>
      <c r="F77" s="7" t="n">
        <v>-31.48850636010348</v>
      </c>
      <c r="G77" s="7" t="n">
        <v>-88.47331755093866</v>
      </c>
    </row>
    <row r="78">
      <c r="A78" s="6" t="n">
        <v>44668.35921509634</v>
      </c>
      <c r="B78" s="4" t="n">
        <v>1</v>
      </c>
      <c r="C78" s="7" t="n">
        <v>1.928654933106574e-15</v>
      </c>
      <c r="D78" s="7" t="n">
        <v>9.068078523583053e-17</v>
      </c>
      <c r="E78" s="4" t="n">
        <v>0.02374687059905822</v>
      </c>
      <c r="F78" s="7" t="n">
        <v>-32.48787228592564</v>
      </c>
      <c r="G78" s="7" t="n">
        <v>-88.63927660871445</v>
      </c>
    </row>
    <row r="79">
      <c r="A79" s="6" t="n">
        <v>50118.72336272725</v>
      </c>
      <c r="B79" s="4" t="n">
        <v>1</v>
      </c>
      <c r="C79" s="7" t="n">
        <v>1.928654933106574e-15</v>
      </c>
      <c r="D79" s="7" t="n">
        <v>8.08287095198885e-17</v>
      </c>
      <c r="E79" s="4" t="n">
        <v>0.02116564814298814</v>
      </c>
      <c r="F79" s="7" t="n">
        <v>-33.48736855692173</v>
      </c>
      <c r="G79" s="7" t="n">
        <v>-88.7872071089562</v>
      </c>
    </row>
    <row r="80">
      <c r="A80" s="6" t="n">
        <v>56234.13251903491</v>
      </c>
      <c r="B80" s="4" t="n">
        <v>1</v>
      </c>
      <c r="C80" s="7" t="n">
        <v>1.928654933106574e-15</v>
      </c>
      <c r="D80" s="7" t="n">
        <v>7.204530128322004e-17</v>
      </c>
      <c r="E80" s="4" t="n">
        <v>0.01886477286299056</v>
      </c>
      <c r="F80" s="7" t="n">
        <v>-34.4869683891099</v>
      </c>
      <c r="G80" s="7" t="n">
        <v>-88.91906399694143</v>
      </c>
    </row>
    <row r="81">
      <c r="A81" s="6" t="n">
        <v>63095.73444801943</v>
      </c>
      <c r="B81" s="4" t="n">
        <v>1</v>
      </c>
      <c r="C81" s="7" t="n">
        <v>1.928654933106574e-15</v>
      </c>
      <c r="D81" s="7" t="n">
        <v>6.421514254556989e-17</v>
      </c>
      <c r="E81" s="4" t="n">
        <v>0.01681386186333844</v>
      </c>
      <c r="F81" s="7" t="n">
        <v>-35.4866504982395</v>
      </c>
      <c r="G81" s="7" t="n">
        <v>-89.0365912662627</v>
      </c>
    </row>
    <row r="82">
      <c r="A82" s="6" t="n">
        <v>70794.57843841374</v>
      </c>
      <c r="B82" s="4" t="n">
        <v>1</v>
      </c>
      <c r="C82" s="7" t="n">
        <v>1.928654933106574e-15</v>
      </c>
      <c r="D82" s="7" t="n">
        <v>5.723513395202941e-17</v>
      </c>
      <c r="E82" s="4" t="n">
        <v>0.01498580583778031</v>
      </c>
      <c r="F82" s="7" t="n">
        <v>-36.48639797196224</v>
      </c>
      <c r="G82" s="7" t="n">
        <v>-89.14134441929355</v>
      </c>
    </row>
    <row r="83">
      <c r="A83" s="6" t="n">
        <v>79432.82347242821</v>
      </c>
      <c r="B83" s="4" t="n">
        <v>1</v>
      </c>
      <c r="C83" s="7" t="n">
        <v>1.928654933106574e-15</v>
      </c>
      <c r="D83" s="7" t="n">
        <v>5.101322305881419e-17</v>
      </c>
      <c r="E83" s="4" t="n">
        <v>0.01335642197245552</v>
      </c>
      <c r="F83" s="7" t="n">
        <v>-37.48619737274564</v>
      </c>
      <c r="G83" s="7" t="n">
        <v>-89.23471062511283</v>
      </c>
    </row>
    <row r="84">
      <c r="A84" s="6" t="n">
        <v>89125.09381337459</v>
      </c>
      <c r="B84" s="4" t="n">
        <v>1</v>
      </c>
      <c r="C84" s="7" t="n">
        <v>1.928654933106574e-15</v>
      </c>
      <c r="D84" s="7" t="n">
        <v>4.546725112964685e-17</v>
      </c>
      <c r="E84" s="4" t="n">
        <v>0.01190414200018977</v>
      </c>
      <c r="F84" s="7" t="n">
        <v>-38.48603802452067</v>
      </c>
      <c r="G84" s="7" t="n">
        <v>-89.31792678451347</v>
      </c>
    </row>
    <row r="85">
      <c r="A85" s="6" t="n">
        <v>100000</v>
      </c>
      <c r="B85" s="4" t="n">
        <v>1</v>
      </c>
      <c r="C85" s="7" t="n">
        <v>1.928654933106574e-15</v>
      </c>
      <c r="D85" s="7" t="n">
        <v>4.052391131162058e-17</v>
      </c>
      <c r="E85" s="4" t="n">
        <v>0.01060973233922785</v>
      </c>
      <c r="F85" s="7" t="n">
        <v>-39.4859114455597</v>
      </c>
      <c r="G85" s="7" t="n">
        <v>-89.39209570078114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4" customWidth="1" min="3" max="3"/>
    <col width="24" customWidth="1" min="4" max="4"/>
    <col width="24" customWidth="1" min="5" max="5"/>
    <col width="10" customWidth="1" min="6" max="6"/>
  </cols>
  <sheetData>
    <row r="1">
      <c r="A1" s="1" t="inlineStr">
        <is>
          <t>SolverSCH vs LTspice Validation</t>
        </is>
      </c>
    </row>
    <row r="2"/>
    <row r="3">
      <c r="A3" s="2" t="inlineStr">
        <is>
          <t>DC Analysis</t>
        </is>
      </c>
      <c r="B3" s="8" t="inlineStr">
        <is>
          <t>PASSED</t>
        </is>
      </c>
    </row>
    <row r="4">
      <c r="A4" s="3" t="inlineStr">
        <is>
          <t>Node/Metric</t>
        </is>
      </c>
      <c r="B4" s="3" t="inlineStr">
        <is>
          <t>Info</t>
        </is>
      </c>
      <c r="C4" s="3" t="inlineStr">
        <is>
          <t>SolverSCH</t>
        </is>
      </c>
      <c r="D4" s="3" t="inlineStr">
        <is>
          <t>LTspice</t>
        </is>
      </c>
      <c r="E4" s="3" t="inlineStr">
        <is>
          <t>Error [%]</t>
        </is>
      </c>
      <c r="F4" s="3" t="inlineStr">
        <is>
          <t>Status</t>
        </is>
      </c>
    </row>
    <row r="5">
      <c r="A5" t="inlineStr">
        <is>
          <t>in</t>
        </is>
      </c>
      <c r="B5" t="inlineStr">
        <is>
          <t>Voltage</t>
        </is>
      </c>
      <c r="C5" s="9" t="n">
        <v>0</v>
      </c>
      <c r="D5" s="9" t="n">
        <v>0</v>
      </c>
      <c r="E5" s="7" t="n">
        <v>0</v>
      </c>
      <c r="F5" s="10" t="inlineStr">
        <is>
          <t>PASS</t>
        </is>
      </c>
    </row>
    <row r="6">
      <c r="A6" t="inlineStr">
        <is>
          <t>out</t>
        </is>
      </c>
      <c r="B6" t="inlineStr">
        <is>
          <t>Voltage</t>
        </is>
      </c>
      <c r="C6" s="9" t="n">
        <v>0</v>
      </c>
      <c r="D6" s="9" t="n">
        <v>0</v>
      </c>
      <c r="E6" s="7" t="n">
        <v>0</v>
      </c>
      <c r="F6" s="10" t="inlineStr">
        <is>
          <t>PASS</t>
        </is>
      </c>
    </row>
    <row r="7"/>
    <row r="8"/>
    <row r="9">
      <c r="A9" s="2" t="inlineStr">
        <is>
          <t>AC Analysis</t>
        </is>
      </c>
      <c r="B9" s="8" t="inlineStr">
        <is>
          <t>PASSED</t>
        </is>
      </c>
    </row>
    <row r="10">
      <c r="A10" s="3" t="inlineStr">
        <is>
          <t>Node/Metric</t>
        </is>
      </c>
      <c r="B10" s="3" t="inlineStr">
        <is>
          <t>Info</t>
        </is>
      </c>
      <c r="C10" s="3" t="inlineStr">
        <is>
          <t>SolverSCH</t>
        </is>
      </c>
      <c r="D10" s="3" t="inlineStr">
        <is>
          <t>LTspice</t>
        </is>
      </c>
      <c r="E10" s="3" t="inlineStr">
        <is>
          <t>Error [%]</t>
        </is>
      </c>
      <c r="F10" s="3" t="inlineStr">
        <is>
          <t>Status</t>
        </is>
      </c>
    </row>
    <row r="11">
      <c r="A11" t="inlineStr">
        <is>
          <t>in @ 10.0Hz</t>
        </is>
      </c>
      <c r="B11" t="inlineStr">
        <is>
          <t>Magnitude [V]</t>
        </is>
      </c>
      <c r="C11" s="9" t="n">
        <v>1</v>
      </c>
      <c r="D11" s="9" t="n">
        <v>1</v>
      </c>
      <c r="E11" s="7" t="n">
        <v>0</v>
      </c>
      <c r="F11" s="10" t="inlineStr">
        <is>
          <t>PASS</t>
        </is>
      </c>
    </row>
    <row r="12">
      <c r="A12" t="inlineStr">
        <is>
          <t>in @ 1000.0Hz</t>
        </is>
      </c>
      <c r="B12" t="inlineStr">
        <is>
          <t>Magnitude [V]</t>
        </is>
      </c>
      <c r="C12" s="9" t="n">
        <v>1</v>
      </c>
      <c r="D12" s="9" t="n">
        <v>1</v>
      </c>
      <c r="E12" s="7" t="n">
        <v>0</v>
      </c>
      <c r="F12" s="10" t="inlineStr">
        <is>
          <t>PASS</t>
        </is>
      </c>
    </row>
    <row r="13">
      <c r="A13" t="inlineStr">
        <is>
          <t>in @ 100000.0Hz</t>
        </is>
      </c>
      <c r="B13" t="inlineStr">
        <is>
          <t>Magnitude [V]</t>
        </is>
      </c>
      <c r="C13" s="9" t="n">
        <v>1</v>
      </c>
      <c r="D13" s="9" t="n">
        <v>1</v>
      </c>
      <c r="E13" s="7" t="n">
        <v>2.220446049250313e-14</v>
      </c>
      <c r="F13" s="10" t="inlineStr">
        <is>
          <t>PASS</t>
        </is>
      </c>
    </row>
    <row r="14">
      <c r="A14" t="inlineStr">
        <is>
          <t>out @ 10.0Hz</t>
        </is>
      </c>
      <c r="B14" t="inlineStr">
        <is>
          <t>Magnitude [V]</t>
        </is>
      </c>
      <c r="C14" s="9" t="n">
        <v>0.999955574740776</v>
      </c>
      <c r="D14" s="9" t="n">
        <v>0.9999555897387772</v>
      </c>
      <c r="E14" s="7" t="n">
        <v>1.499866726905812e-06</v>
      </c>
      <c r="F14" s="10" t="inlineStr">
        <is>
          <t>PASS</t>
        </is>
      </c>
    </row>
    <row r="15">
      <c r="A15" t="inlineStr">
        <is>
          <t>out @ 1000.0Hz</t>
        </is>
      </c>
      <c r="B15" t="inlineStr">
        <is>
          <t>Magnitude [V]</t>
        </is>
      </c>
      <c r="C15" s="9" t="n">
        <v>0.7277271776086061</v>
      </c>
      <c r="D15" s="9" t="n">
        <v>0.7277271833895284</v>
      </c>
      <c r="E15" s="7" t="n">
        <v>7.943804255725258e-07</v>
      </c>
      <c r="F15" s="10" t="inlineStr">
        <is>
          <t>PASS</t>
        </is>
      </c>
    </row>
    <row r="16">
      <c r="A16" t="inlineStr">
        <is>
          <t>out @ 100000.0Hz</t>
        </is>
      </c>
      <c r="B16" t="inlineStr">
        <is>
          <t>Magnitude [V]</t>
        </is>
      </c>
      <c r="C16" s="9" t="n">
        <v>0.01060973233922785</v>
      </c>
      <c r="D16" s="9" t="n">
        <v>0.01060973233924576</v>
      </c>
      <c r="E16" s="7" t="n">
        <v>1.688168873328412e-10</v>
      </c>
      <c r="F16" s="10" t="inlineStr">
        <is>
          <t>PASS</t>
        </is>
      </c>
    </row>
    <row r="17"/>
    <row r="18"/>
    <row r="19">
      <c r="A19" s="2" t="inlineStr">
        <is>
          <t>TRANSIENT Analysis</t>
        </is>
      </c>
      <c r="B19" s="11" t="inlineStr">
        <is>
          <t>FAILED</t>
        </is>
      </c>
    </row>
    <row r="20">
      <c r="A20" s="3" t="inlineStr">
        <is>
          <t>Node/Metric</t>
        </is>
      </c>
      <c r="B20" s="3" t="inlineStr">
        <is>
          <t>Info</t>
        </is>
      </c>
      <c r="C20" s="3" t="inlineStr">
        <is>
          <t>SolverSCH</t>
        </is>
      </c>
      <c r="D20" s="3" t="inlineStr">
        <is>
          <t>LTspice</t>
        </is>
      </c>
      <c r="E20" s="3" t="inlineStr">
        <is>
          <t>Error [%]</t>
        </is>
      </c>
      <c r="F20" s="3" t="inlineStr">
        <is>
          <t>Status</t>
        </is>
      </c>
    </row>
    <row r="21">
      <c r="A21" t="inlineStr">
        <is>
          <t>in @ 0.01ms</t>
        </is>
      </c>
      <c r="B21" t="inlineStr">
        <is>
          <t>Voltage [V]</t>
        </is>
      </c>
      <c r="C21" s="9" t="n">
        <v>0.0314107590781283</v>
      </c>
      <c r="D21" s="9" t="n">
        <v>0.03140893166140531</v>
      </c>
      <c r="E21" s="7" t="n">
        <v>0.005818143522652182</v>
      </c>
      <c r="F21" s="10" t="inlineStr">
        <is>
          <t>PASS</t>
        </is>
      </c>
    </row>
    <row r="22">
      <c r="A22" t="inlineStr">
        <is>
          <t>in @ 1.50ms</t>
        </is>
      </c>
      <c r="B22" t="inlineStr">
        <is>
          <t>Voltage [V]</t>
        </is>
      </c>
      <c r="C22" s="9" t="n">
        <v>-2.09816468968888e-14</v>
      </c>
      <c r="D22" s="9" t="n">
        <v>1.334261976050979e-05</v>
      </c>
      <c r="E22" s="7" t="n">
        <v>0</v>
      </c>
      <c r="F22" s="10" t="inlineStr">
        <is>
          <t>PASS</t>
        </is>
      </c>
    </row>
    <row r="23">
      <c r="A23" t="inlineStr">
        <is>
          <t>in @ 3.00ms</t>
        </is>
      </c>
      <c r="B23" t="inlineStr">
        <is>
          <t>Voltage [V]</t>
        </is>
      </c>
      <c r="C23" s="9" t="n">
        <v>-2.422865611247333e-13</v>
      </c>
      <c r="D23" s="9" t="n">
        <v>-2.397734788495143e-13</v>
      </c>
      <c r="E23" s="7" t="n">
        <v>0</v>
      </c>
      <c r="F23" s="10" t="inlineStr">
        <is>
          <t>PASS</t>
        </is>
      </c>
    </row>
    <row r="24">
      <c r="A24" t="inlineStr">
        <is>
          <t>out @ 0.01ms</t>
        </is>
      </c>
      <c r="B24" t="inlineStr">
        <is>
          <t>Voltage [V]</t>
        </is>
      </c>
      <c r="C24" s="9" t="n">
        <v>0.001013250292352566</v>
      </c>
      <c r="D24" s="9" t="n">
        <v>0.0006808147828144999</v>
      </c>
      <c r="E24" s="7" t="n">
        <v>32.80882443825571</v>
      </c>
      <c r="F24" s="12" t="inlineStr">
        <is>
          <t>FAIL</t>
        </is>
      </c>
    </row>
    <row r="25">
      <c r="A25" t="inlineStr">
        <is>
          <t>out @ 1.50ms</t>
        </is>
      </c>
      <c r="B25" t="inlineStr">
        <is>
          <t>Voltage [V]</t>
        </is>
      </c>
      <c r="C25" s="9" t="n">
        <v>0.4913829574499919</v>
      </c>
      <c r="D25" s="9" t="n">
        <v>0.4986407946292284</v>
      </c>
      <c r="E25" s="7" t="n">
        <v>1.455524148326699</v>
      </c>
      <c r="F25" s="12" t="inlineStr">
        <is>
          <t>FAIL</t>
        </is>
      </c>
    </row>
    <row r="26">
      <c r="A26" t="inlineStr">
        <is>
          <t>out @ 3.00ms</t>
        </is>
      </c>
      <c r="B26" t="inlineStr">
        <is>
          <t>Voltage [V]</t>
        </is>
      </c>
      <c r="C26" s="9" t="n">
        <v>-0.4913566978388827</v>
      </c>
      <c r="D26" s="9" t="n">
        <v>-0.4991257786752041</v>
      </c>
      <c r="E26" s="7" t="n">
        <v>1.556537684136919</v>
      </c>
      <c r="F26" s="12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6" customWidth="1" min="4" max="4"/>
    <col width="11" customWidth="1" min="5" max="5"/>
  </cols>
  <sheetData>
    <row r="1">
      <c r="A1" s="1" t="inlineStr">
        <is>
          <t>Bill of Materials</t>
        </is>
      </c>
    </row>
    <row r="2"/>
    <row r="3">
      <c r="A3" s="3" t="inlineStr">
        <is>
          <t>#</t>
        </is>
      </c>
      <c r="B3" s="3" t="inlineStr">
        <is>
          <t>Reference</t>
        </is>
      </c>
      <c r="C3" s="3" t="inlineStr">
        <is>
          <t>Type</t>
        </is>
      </c>
      <c r="D3" s="3" t="inlineStr">
        <is>
          <t>Value</t>
        </is>
      </c>
      <c r="E3" s="3" t="inlineStr">
        <is>
          <t>Terminals</t>
        </is>
      </c>
    </row>
    <row r="4">
      <c r="A4" t="n">
        <v>1</v>
      </c>
      <c r="B4" t="inlineStr">
        <is>
          <t>Vin</t>
        </is>
      </c>
      <c r="C4" t="inlineStr">
        <is>
          <t>AC Voltage Source</t>
        </is>
      </c>
      <c r="D4" t="inlineStr">
        <is>
          <t>AC: 1.0V, 1.0Vp @ 1000Hz</t>
        </is>
      </c>
      <c r="E4" t="inlineStr">
        <is>
          <t>in, 0</t>
        </is>
      </c>
    </row>
    <row r="5">
      <c r="A5" t="n">
        <v>2</v>
      </c>
      <c r="B5" t="inlineStr">
        <is>
          <t>R1</t>
        </is>
      </c>
      <c r="C5" t="inlineStr">
        <is>
          <t>Resistor</t>
        </is>
      </c>
      <c r="D5" t="inlineStr">
        <is>
          <t>15000 Ω</t>
        </is>
      </c>
      <c r="E5" t="inlineStr">
        <is>
          <t>in, out</t>
        </is>
      </c>
    </row>
    <row r="6">
      <c r="A6" t="n">
        <v>3</v>
      </c>
      <c r="B6" t="inlineStr">
        <is>
          <t>C1</t>
        </is>
      </c>
      <c r="C6" t="inlineStr">
        <is>
          <t>Capacitor</t>
        </is>
      </c>
      <c r="D6" t="inlineStr">
        <is>
          <t>1e-08 F</t>
        </is>
      </c>
      <c r="E6" t="inlineStr">
        <is>
          <t>out, 0</t>
        </is>
      </c>
    </row>
    <row r="7"/>
    <row r="8">
      <c r="A8" s="13" t="inlineStr">
        <is>
          <t>Total:</t>
        </is>
      </c>
      <c r="B8" t="inlineStr">
        <is>
          <t>3 components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2026-03-04T21:09:46Z</dcterms:created>
  <dcterms:modified xmlns:dcterms="http://purl.org/dc/terms/" xmlns:xsi="http://www.w3.org/2001/XMLSchema-instance" xsi:type="dcterms:W3CDTF">2026-03-04T21:09:46Z</dcterms:modified>
</cp:coreProperties>
</file>